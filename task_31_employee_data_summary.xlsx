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c165bfd2923ad4/Документы/"/>
    </mc:Choice>
  </mc:AlternateContent>
  <xr:revisionPtr revIDLastSave="0" documentId="8_{0C5FA938-FF1E-475B-880B-5D3E97249053}" xr6:coauthVersionLast="47" xr6:coauthVersionMax="47" xr10:uidLastSave="{00000000-0000-0000-0000-000000000000}"/>
  <bookViews>
    <workbookView xWindow="7104" yWindow="0" windowWidth="16032" windowHeight="13056" activeTab="1" xr2:uid="{6FD4F877-95FA-4879-B1D4-39A5F1FA65C6}"/>
  </bookViews>
  <sheets>
    <sheet name="EmployeeTable" sheetId="1" r:id="rId1"/>
    <sheet name="Summary" sheetId="2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2" l="1"/>
  <c r="B27" i="2"/>
  <c r="B26" i="2"/>
</calcChain>
</file>

<file path=xl/sharedStrings.xml><?xml version="1.0" encoding="utf-8"?>
<sst xmlns="http://schemas.openxmlformats.org/spreadsheetml/2006/main" count="94" uniqueCount="55">
  <si>
    <t>Employee ID</t>
  </si>
  <si>
    <t>Employee Name</t>
  </si>
  <si>
    <t>Department</t>
  </si>
  <si>
    <t>Job Role</t>
  </si>
  <si>
    <t>Salary</t>
  </si>
  <si>
    <t>E101</t>
  </si>
  <si>
    <t>Aditi</t>
  </si>
  <si>
    <t>IT</t>
  </si>
  <si>
    <t>Developer</t>
  </si>
  <si>
    <t>E102</t>
  </si>
  <si>
    <t>Rahul</t>
  </si>
  <si>
    <t>HR</t>
  </si>
  <si>
    <t>Recruiter</t>
  </si>
  <si>
    <t>E103</t>
  </si>
  <si>
    <t>Priya</t>
  </si>
  <si>
    <t>Finance</t>
  </si>
  <si>
    <t>Analyst</t>
  </si>
  <si>
    <t>E104</t>
  </si>
  <si>
    <t>Aman</t>
  </si>
  <si>
    <t>Tester</t>
  </si>
  <si>
    <t>E105</t>
  </si>
  <si>
    <t>Neha</t>
  </si>
  <si>
    <t>HR Manager</t>
  </si>
  <si>
    <t>E106</t>
  </si>
  <si>
    <t>Karan</t>
  </si>
  <si>
    <t>Accountant</t>
  </si>
  <si>
    <t>E107</t>
  </si>
  <si>
    <t>Simran</t>
  </si>
  <si>
    <t>E108</t>
  </si>
  <si>
    <t>Rohan</t>
  </si>
  <si>
    <t>Marketing</t>
  </si>
  <si>
    <t>Executive</t>
  </si>
  <si>
    <t>E109</t>
  </si>
  <si>
    <t>Pooja</t>
  </si>
  <si>
    <t>E110</t>
  </si>
  <si>
    <t>Arjun</t>
  </si>
  <si>
    <t>Manager</t>
  </si>
  <si>
    <t>E111</t>
  </si>
  <si>
    <t>Meera</t>
  </si>
  <si>
    <t>E112</t>
  </si>
  <si>
    <t>Vivek</t>
  </si>
  <si>
    <t>E113</t>
  </si>
  <si>
    <t>Ishita</t>
  </si>
  <si>
    <t>E114</t>
  </si>
  <si>
    <t>Kabir</t>
  </si>
  <si>
    <t>E115</t>
  </si>
  <si>
    <t>Ananya</t>
  </si>
  <si>
    <t>Row Labels</t>
  </si>
  <si>
    <t>Grand Total</t>
  </si>
  <si>
    <t>Count of Employee ID</t>
  </si>
  <si>
    <t>Average of Salary</t>
  </si>
  <si>
    <t>Total Summary</t>
  </si>
  <si>
    <t>Average Salary</t>
  </si>
  <si>
    <t>Median Salary</t>
  </si>
  <si>
    <t>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</si>
</sst>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[task_31_employee_data_summary.xlsx]Summary!PivotTable1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Summary!$A$2:$A$6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Summary!$B$2:$B$6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E-4F4B-8BDB-82DDBBFD4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713071"/>
        <c:axId val="1294337359"/>
      </c:barChart>
      <c:catAx>
        <c:axId val="85771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337359"/>
        <c:crosses val="autoZero"/>
        <c:auto val="1"/>
        <c:lblAlgn val="ctr"/>
        <c:lblOffset val="100"/>
        <c:noMultiLvlLbl val="0"/>
      </c:catAx>
      <c:valAx>
        <c:axId val="129433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1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[task_31_employee_data_summary.xlsx]Summary!PivotTable2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Summary!$G$3:$G$7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</c:strCache>
            </c:strRef>
          </c:cat>
          <c:val>
            <c:numRef>
              <c:f>Summary!$H$3:$H$7</c:f>
              <c:numCache>
                <c:formatCode>General</c:formatCode>
                <c:ptCount val="4"/>
                <c:pt idx="0">
                  <c:v>42750</c:v>
                </c:pt>
                <c:pt idx="1">
                  <c:v>40666.666666666664</c:v>
                </c:pt>
                <c:pt idx="2">
                  <c:v>55600</c:v>
                </c:pt>
                <c:pt idx="3">
                  <c:v>46666.666666666664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E-48A2-8792-097B1A463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445727"/>
        <c:axId val="1497259823"/>
      </c:barChart>
      <c:catAx>
        <c:axId val="149544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59823"/>
        <c:crosses val="autoZero"/>
        <c:auto val="1"/>
        <c:lblAlgn val="ctr"/>
        <c:lblOffset val="100"/>
        <c:noMultiLvlLbl val="0"/>
      </c:catAx>
      <c:valAx>
        <c:axId val="14972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4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[task_31_employee_data_summary.xlsx]Summary!PivotTable3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Summary!$L$3:$L$11</c:f>
              <c:strCache>
                <c:ptCount val="8"/>
                <c:pt idx="0">
                  <c:v>Accountant</c:v>
                </c:pt>
                <c:pt idx="1">
                  <c:v>Analyst</c:v>
                </c:pt>
                <c:pt idx="2">
                  <c:v>Developer</c:v>
                </c:pt>
                <c:pt idx="3">
                  <c:v>Executive</c:v>
                </c:pt>
                <c:pt idx="4">
                  <c:v>HR Manager</c:v>
                </c:pt>
                <c:pt idx="5">
                  <c:v>Manager</c:v>
                </c:pt>
                <c:pt idx="6">
                  <c:v>Recruiter</c:v>
                </c:pt>
                <c:pt idx="7">
                  <c:v>Tester</c:v>
                </c:pt>
              </c:strCache>
            </c:strRef>
          </c:cat>
          <c:val>
            <c:numRef>
              <c:f>Summary!$M$3:$M$11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E-4CEB-ADEC-6C4851292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518607"/>
        <c:axId val="1497274703"/>
      </c:barChart>
      <c:catAx>
        <c:axId val="149551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274703"/>
        <c:crosses val="autoZero"/>
        <c:auto val="1"/>
        <c:lblAlgn val="ctr"/>
        <c:lblOffset val="100"/>
        <c:noMultiLvlLbl val="0"/>
      </c:catAx>
      <c:valAx>
        <c:axId val="14972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1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87630</xdr:rowOff>
    </xdr:from>
    <xdr:to>
      <xdr:col>4</xdr:col>
      <xdr:colOff>137160</xdr:colOff>
      <xdr:row>22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21F94-754B-91B5-C376-F4321DD33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7</xdr:row>
      <xdr:rowOff>95250</xdr:rowOff>
    </xdr:from>
    <xdr:to>
      <xdr:col>9</xdr:col>
      <xdr:colOff>266700</xdr:colOff>
      <xdr:row>22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80B243-8BCC-5A47-B850-A9DE8B8F8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11</xdr:row>
      <xdr:rowOff>80010</xdr:rowOff>
    </xdr:from>
    <xdr:to>
      <xdr:col>15</xdr:col>
      <xdr:colOff>30480</xdr:colOff>
      <xdr:row>26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1F0627-2AFE-0821-7AB8-EC0C1EC09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U" refreshedDate="46326.824570138888" createdVersion="8" refreshedVersion="8" minRefreshableVersion="3" recordCount="15" xr:uid="{FB753864-55B2-4DB9-9EC0-FFC7C816CA25}">
  <cacheSource type="worksheet">
    <worksheetSource name="EmployeeTable"/>
  </cacheSource>
  <cacheFields count="5">
    <cacheField name="Employee ID" numFmtId="0">
      <sharedItems/>
    </cacheField>
    <cacheField name="Employee Name" numFmtId="0">
      <sharedItems/>
    </cacheField>
    <cacheField name="Department" numFmtId="0">
      <sharedItems count="4">
        <s v="IT"/>
        <s v="HR"/>
        <s v="Finance"/>
        <s v="Marketing"/>
      </sharedItems>
    </cacheField>
    <cacheField name="Job Role" numFmtId="0">
      <sharedItems count="8">
        <s v="Developer"/>
        <s v="Recruiter"/>
        <s v="Analyst"/>
        <s v="Tester"/>
        <s v="HR Manager"/>
        <s v="Accountant"/>
        <s v="Executive"/>
        <s v="Manager"/>
      </sharedItems>
    </cacheField>
    <cacheField name="Salary" numFmtId="0">
      <sharedItems containsSemiMixedTypes="0" containsString="0" containsNumber="1" containsInteger="1" minValue="32000" maxValue="700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101"/>
    <s v="Aditi"/>
    <x v="0"/>
    <x v="0"/>
    <n v="60000"/>
  </r>
  <r>
    <s v="E102"/>
    <s v="Rahul"/>
    <x v="1"/>
    <x v="1"/>
    <n v="35000"/>
  </r>
  <r>
    <s v="E103"/>
    <s v="Priya"/>
    <x v="2"/>
    <x v="2"/>
    <n v="45000"/>
  </r>
  <r>
    <s v="E104"/>
    <s v="Aman"/>
    <x v="0"/>
    <x v="3"/>
    <n v="40000"/>
  </r>
  <r>
    <s v="E105"/>
    <s v="Neha"/>
    <x v="1"/>
    <x v="4"/>
    <n v="55000"/>
  </r>
  <r>
    <s v="E106"/>
    <s v="Karan"/>
    <x v="2"/>
    <x v="5"/>
    <n v="38000"/>
  </r>
  <r>
    <s v="E107"/>
    <s v="Simran"/>
    <x v="0"/>
    <x v="0"/>
    <n v="65000"/>
  </r>
  <r>
    <s v="E108"/>
    <s v="Rohan"/>
    <x v="3"/>
    <x v="6"/>
    <n v="42000"/>
  </r>
  <r>
    <s v="E109"/>
    <s v="Pooja"/>
    <x v="2"/>
    <x v="2"/>
    <n v="48000"/>
  </r>
  <r>
    <s v="E110"/>
    <s v="Arjun"/>
    <x v="3"/>
    <x v="7"/>
    <n v="60000"/>
  </r>
  <r>
    <s v="E111"/>
    <s v="Meera"/>
    <x v="0"/>
    <x v="0"/>
    <n v="70000"/>
  </r>
  <r>
    <s v="E112"/>
    <s v="Vivek"/>
    <x v="1"/>
    <x v="1"/>
    <n v="32000"/>
  </r>
  <r>
    <s v="E113"/>
    <s v="Ishita"/>
    <x v="2"/>
    <x v="5"/>
    <n v="40000"/>
  </r>
  <r>
    <s v="E114"/>
    <s v="Kabir"/>
    <x v="3"/>
    <x v="6"/>
    <n v="38000"/>
  </r>
  <r>
    <s v="E115"/>
    <s v="Ananya"/>
    <x v="0"/>
    <x v="3"/>
    <n v="4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D4E85-6C73-4825-8F37-1799AB2EDD3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:M11" firstHeaderRow="1" firstDataRow="1" firstDataCol="1"/>
  <pivotFields count="5">
    <pivotField dataField="1" showAll="0"/>
    <pivotField showAll="0"/>
    <pivotField showAll="0"/>
    <pivotField axis="axisRow" showAll="0">
      <items count="9">
        <item x="5"/>
        <item x="2"/>
        <item x="0"/>
        <item x="6"/>
        <item x="4"/>
        <item x="7"/>
        <item x="1"/>
        <item x="3"/>
        <item t="default"/>
      </items>
    </pivotField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B3D60-75D3-4C5D-8E31-A469389D810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:H7" firstHeaderRow="1" firstDataRow="1" firstDataCol="1"/>
  <pivotFields count="5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4" subtotal="average" baseField="2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61B98-5CBE-4786-A6B5-43D72357081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6" firstHeaderRow="1" firstDataRow="1" firstDataCol="1"/>
  <pivotFields count="5"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94697-C639-4D1A-993C-0B10FB964B1D}" name="EmployeeTable" displayName="EmployeeTable" ref="A1:E16" totalsRowShown="0" headerRowDxfId="0" dataDxfId="1">
  <autoFilter ref="A1:E16" xr:uid="{98E94697-C639-4D1A-993C-0B10FB964B1D}"/>
  <tableColumns count="5">
    <tableColumn id="1" xr3:uid="{E7277BD1-4280-4B17-9957-DA266BB2CC16}" name="Employee ID" dataDxfId="6"/>
    <tableColumn id="2" xr3:uid="{EE89B2F4-1075-422C-B128-D4E5E2D8D4DB}" name="Employee Name" dataDxfId="5"/>
    <tableColumn id="3" xr3:uid="{EAD4E26E-947F-4095-81F1-63123E18D571}" name="Department" dataDxfId="4"/>
    <tableColumn id="4" xr3:uid="{660F2E00-B92D-46AD-A936-E0FC363CF72A}" name="Job Role" dataDxfId="3"/>
    <tableColumn id="5" xr3:uid="{E755B162-272A-482B-90F6-61DD977873E9}" name="Sal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F836-3410-4701-8C81-8C1A6F472E64}">
  <dimension ref="A1:E16"/>
  <sheetViews>
    <sheetView workbookViewId="0">
      <selection activeCell="B11" sqref="B11"/>
    </sheetView>
  </sheetViews>
  <sheetFormatPr defaultRowHeight="14.4" x14ac:dyDescent="0.3"/>
  <cols>
    <col min="1" max="1" width="16" bestFit="1" customWidth="1"/>
    <col min="2" max="2" width="19.33203125" bestFit="1" customWidth="1"/>
    <col min="3" max="3" width="15.5546875" bestFit="1" customWidth="1"/>
    <col min="4" max="4" width="12.44140625" bestFit="1" customWidth="1"/>
    <col min="5" max="5" width="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28.8" x14ac:dyDescent="0.3">
      <c r="A2" s="4" t="s">
        <v>5</v>
      </c>
      <c r="B2" s="4" t="s">
        <v>6</v>
      </c>
      <c r="C2" s="4" t="s">
        <v>7</v>
      </c>
      <c r="D2" s="4" t="s">
        <v>8</v>
      </c>
      <c r="E2" s="2">
        <v>60000</v>
      </c>
    </row>
    <row r="3" spans="1:5" x14ac:dyDescent="0.3">
      <c r="A3" s="4" t="s">
        <v>9</v>
      </c>
      <c r="B3" s="4" t="s">
        <v>10</v>
      </c>
      <c r="C3" s="4" t="s">
        <v>11</v>
      </c>
      <c r="D3" s="4" t="s">
        <v>12</v>
      </c>
      <c r="E3" s="2">
        <v>35000</v>
      </c>
    </row>
    <row r="4" spans="1:5" x14ac:dyDescent="0.3">
      <c r="A4" s="4" t="s">
        <v>13</v>
      </c>
      <c r="B4" s="4" t="s">
        <v>14</v>
      </c>
      <c r="C4" s="4" t="s">
        <v>15</v>
      </c>
      <c r="D4" s="4" t="s">
        <v>16</v>
      </c>
      <c r="E4" s="2">
        <v>45000</v>
      </c>
    </row>
    <row r="5" spans="1:5" x14ac:dyDescent="0.3">
      <c r="A5" s="4" t="s">
        <v>17</v>
      </c>
      <c r="B5" s="4" t="s">
        <v>18</v>
      </c>
      <c r="C5" s="4" t="s">
        <v>7</v>
      </c>
      <c r="D5" s="4" t="s">
        <v>19</v>
      </c>
      <c r="E5" s="2">
        <v>40000</v>
      </c>
    </row>
    <row r="6" spans="1:5" ht="28.8" x14ac:dyDescent="0.3">
      <c r="A6" s="4" t="s">
        <v>20</v>
      </c>
      <c r="B6" s="4" t="s">
        <v>21</v>
      </c>
      <c r="C6" s="4" t="s">
        <v>11</v>
      </c>
      <c r="D6" s="4" t="s">
        <v>22</v>
      </c>
      <c r="E6" s="2">
        <v>55000</v>
      </c>
    </row>
    <row r="7" spans="1:5" ht="28.8" x14ac:dyDescent="0.3">
      <c r="A7" s="4" t="s">
        <v>23</v>
      </c>
      <c r="B7" s="4" t="s">
        <v>24</v>
      </c>
      <c r="C7" s="4" t="s">
        <v>15</v>
      </c>
      <c r="D7" s="4" t="s">
        <v>25</v>
      </c>
      <c r="E7" s="2">
        <v>38000</v>
      </c>
    </row>
    <row r="8" spans="1:5" ht="28.8" x14ac:dyDescent="0.3">
      <c r="A8" s="4" t="s">
        <v>26</v>
      </c>
      <c r="B8" s="4" t="s">
        <v>27</v>
      </c>
      <c r="C8" s="4" t="s">
        <v>7</v>
      </c>
      <c r="D8" s="4" t="s">
        <v>8</v>
      </c>
      <c r="E8" s="2">
        <v>65000</v>
      </c>
    </row>
    <row r="9" spans="1:5" ht="28.8" x14ac:dyDescent="0.3">
      <c r="A9" s="4" t="s">
        <v>28</v>
      </c>
      <c r="B9" s="4" t="s">
        <v>29</v>
      </c>
      <c r="C9" s="4" t="s">
        <v>30</v>
      </c>
      <c r="D9" s="4" t="s">
        <v>31</v>
      </c>
      <c r="E9" s="2">
        <v>42000</v>
      </c>
    </row>
    <row r="10" spans="1:5" x14ac:dyDescent="0.3">
      <c r="A10" s="4" t="s">
        <v>32</v>
      </c>
      <c r="B10" s="4" t="s">
        <v>33</v>
      </c>
      <c r="C10" s="4" t="s">
        <v>15</v>
      </c>
      <c r="D10" s="4" t="s">
        <v>16</v>
      </c>
      <c r="E10" s="2">
        <v>48000</v>
      </c>
    </row>
    <row r="11" spans="1:5" ht="28.8" x14ac:dyDescent="0.3">
      <c r="A11" s="4" t="s">
        <v>34</v>
      </c>
      <c r="B11" s="4" t="s">
        <v>35</v>
      </c>
      <c r="C11" s="4" t="s">
        <v>30</v>
      </c>
      <c r="D11" s="4" t="s">
        <v>36</v>
      </c>
      <c r="E11" s="2">
        <v>60000</v>
      </c>
    </row>
    <row r="12" spans="1:5" ht="28.8" x14ac:dyDescent="0.3">
      <c r="A12" s="4" t="s">
        <v>37</v>
      </c>
      <c r="B12" s="4" t="s">
        <v>38</v>
      </c>
      <c r="C12" s="4" t="s">
        <v>7</v>
      </c>
      <c r="D12" s="4" t="s">
        <v>8</v>
      </c>
      <c r="E12" s="2">
        <v>70000</v>
      </c>
    </row>
    <row r="13" spans="1:5" x14ac:dyDescent="0.3">
      <c r="A13" s="4" t="s">
        <v>39</v>
      </c>
      <c r="B13" s="4" t="s">
        <v>40</v>
      </c>
      <c r="C13" s="4" t="s">
        <v>11</v>
      </c>
      <c r="D13" s="4" t="s">
        <v>12</v>
      </c>
      <c r="E13" s="2">
        <v>32000</v>
      </c>
    </row>
    <row r="14" spans="1:5" ht="28.8" x14ac:dyDescent="0.3">
      <c r="A14" s="4" t="s">
        <v>41</v>
      </c>
      <c r="B14" s="4" t="s">
        <v>42</v>
      </c>
      <c r="C14" s="4" t="s">
        <v>15</v>
      </c>
      <c r="D14" s="4" t="s">
        <v>25</v>
      </c>
      <c r="E14" s="2">
        <v>40000</v>
      </c>
    </row>
    <row r="15" spans="1:5" ht="28.8" x14ac:dyDescent="0.3">
      <c r="A15" s="4" t="s">
        <v>43</v>
      </c>
      <c r="B15" s="4" t="s">
        <v>44</v>
      </c>
      <c r="C15" s="4" t="s">
        <v>30</v>
      </c>
      <c r="D15" s="4" t="s">
        <v>31</v>
      </c>
      <c r="E15" s="2">
        <v>38000</v>
      </c>
    </row>
    <row r="16" spans="1:5" x14ac:dyDescent="0.3">
      <c r="A16" s="4" t="s">
        <v>45</v>
      </c>
      <c r="B16" s="4" t="s">
        <v>46</v>
      </c>
      <c r="C16" s="4" t="s">
        <v>7</v>
      </c>
      <c r="D16" s="4" t="s">
        <v>19</v>
      </c>
      <c r="E16" s="2">
        <v>43000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3CE8-3404-45C8-8BBE-9D915EBF938B}">
  <dimension ref="A1:M28"/>
  <sheetViews>
    <sheetView tabSelected="1" workbookViewId="0">
      <selection activeCell="A25" sqref="A25:B28"/>
    </sheetView>
  </sheetViews>
  <sheetFormatPr defaultRowHeight="14.4" x14ac:dyDescent="0.3"/>
  <cols>
    <col min="1" max="1" width="12.5546875" bestFit="1" customWidth="1"/>
    <col min="2" max="2" width="19.5546875" bestFit="1" customWidth="1"/>
    <col min="5" max="5" width="15.21875" customWidth="1"/>
    <col min="7" max="7" width="12.5546875" bestFit="1" customWidth="1"/>
    <col min="8" max="8" width="15.77734375" bestFit="1" customWidth="1"/>
    <col min="9" max="9" width="12.5546875" bestFit="1" customWidth="1"/>
    <col min="12" max="12" width="12.5546875" bestFit="1" customWidth="1"/>
    <col min="13" max="13" width="19.5546875" bestFit="1" customWidth="1"/>
  </cols>
  <sheetData>
    <row r="1" spans="1:13" x14ac:dyDescent="0.3">
      <c r="A1" s="5" t="s">
        <v>47</v>
      </c>
      <c r="B1" t="s">
        <v>49</v>
      </c>
    </row>
    <row r="2" spans="1:13" x14ac:dyDescent="0.3">
      <c r="A2" s="6" t="s">
        <v>15</v>
      </c>
      <c r="B2" s="7">
        <v>4</v>
      </c>
      <c r="G2" s="5" t="s">
        <v>47</v>
      </c>
      <c r="H2" t="s">
        <v>50</v>
      </c>
      <c r="L2" s="5" t="s">
        <v>47</v>
      </c>
      <c r="M2" t="s">
        <v>49</v>
      </c>
    </row>
    <row r="3" spans="1:13" x14ac:dyDescent="0.3">
      <c r="A3" s="6" t="s">
        <v>11</v>
      </c>
      <c r="B3" s="7">
        <v>3</v>
      </c>
      <c r="G3" s="6" t="s">
        <v>15</v>
      </c>
      <c r="H3" s="7">
        <v>42750</v>
      </c>
      <c r="L3" s="6" t="s">
        <v>25</v>
      </c>
      <c r="M3" s="7">
        <v>2</v>
      </c>
    </row>
    <row r="4" spans="1:13" x14ac:dyDescent="0.3">
      <c r="A4" s="6" t="s">
        <v>7</v>
      </c>
      <c r="B4" s="7">
        <v>5</v>
      </c>
      <c r="G4" s="6" t="s">
        <v>11</v>
      </c>
      <c r="H4" s="7">
        <v>40666.666666666664</v>
      </c>
      <c r="L4" s="6" t="s">
        <v>16</v>
      </c>
      <c r="M4" s="7">
        <v>2</v>
      </c>
    </row>
    <row r="5" spans="1:13" x14ac:dyDescent="0.3">
      <c r="A5" s="6" t="s">
        <v>30</v>
      </c>
      <c r="B5" s="7">
        <v>3</v>
      </c>
      <c r="G5" s="6" t="s">
        <v>7</v>
      </c>
      <c r="H5" s="7">
        <v>55600</v>
      </c>
      <c r="L5" s="6" t="s">
        <v>8</v>
      </c>
      <c r="M5" s="7">
        <v>3</v>
      </c>
    </row>
    <row r="6" spans="1:13" x14ac:dyDescent="0.3">
      <c r="A6" s="6" t="s">
        <v>48</v>
      </c>
      <c r="B6" s="7">
        <v>15</v>
      </c>
      <c r="G6" s="6" t="s">
        <v>30</v>
      </c>
      <c r="H6" s="7">
        <v>46666.666666666664</v>
      </c>
      <c r="L6" s="6" t="s">
        <v>31</v>
      </c>
      <c r="M6" s="7">
        <v>2</v>
      </c>
    </row>
    <row r="7" spans="1:13" x14ac:dyDescent="0.3">
      <c r="G7" s="6" t="s">
        <v>48</v>
      </c>
      <c r="H7" s="7">
        <v>47400</v>
      </c>
      <c r="L7" s="6" t="s">
        <v>22</v>
      </c>
      <c r="M7" s="7">
        <v>1</v>
      </c>
    </row>
    <row r="8" spans="1:13" x14ac:dyDescent="0.3">
      <c r="L8" s="6" t="s">
        <v>36</v>
      </c>
      <c r="M8" s="7">
        <v>1</v>
      </c>
    </row>
    <row r="9" spans="1:13" x14ac:dyDescent="0.3">
      <c r="L9" s="6" t="s">
        <v>12</v>
      </c>
      <c r="M9" s="7">
        <v>2</v>
      </c>
    </row>
    <row r="10" spans="1:13" x14ac:dyDescent="0.3">
      <c r="L10" s="6" t="s">
        <v>19</v>
      </c>
      <c r="M10" s="7">
        <v>2</v>
      </c>
    </row>
    <row r="11" spans="1:13" x14ac:dyDescent="0.3">
      <c r="L11" s="6" t="s">
        <v>48</v>
      </c>
      <c r="M11" s="7">
        <v>15</v>
      </c>
    </row>
    <row r="24" spans="1:2" ht="15" thickBot="1" x14ac:dyDescent="0.35"/>
    <row r="25" spans="1:2" ht="15" thickBot="1" x14ac:dyDescent="0.35">
      <c r="A25" s="14" t="s">
        <v>54</v>
      </c>
      <c r="B25" s="15"/>
    </row>
    <row r="26" spans="1:2" x14ac:dyDescent="0.3">
      <c r="A26" s="8" t="s">
        <v>51</v>
      </c>
      <c r="B26" s="9">
        <f>COUNTA(EmployeeTable[Employee ID])</f>
        <v>15</v>
      </c>
    </row>
    <row r="27" spans="1:2" x14ac:dyDescent="0.3">
      <c r="A27" s="10" t="s">
        <v>52</v>
      </c>
      <c r="B27" s="11">
        <f>AVERAGE(EmployeeTable[Salary])</f>
        <v>47400</v>
      </c>
    </row>
    <row r="28" spans="1:2" ht="15" thickBot="1" x14ac:dyDescent="0.35">
      <c r="A28" s="12" t="s">
        <v>53</v>
      </c>
      <c r="B28" s="13">
        <f>MEDIAN(EmployeeTable[Salary])</f>
        <v>43000</v>
      </c>
    </row>
  </sheetData>
  <mergeCells count="1">
    <mergeCell ref="A25:B25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EmployeeTable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manshvee chouhan</dc:creator>
  <cp:lastModifiedBy>manshvee chouhan</cp:lastModifiedBy>
  <dcterms:created xsi:type="dcterms:W3CDTF">2026-10-31T14:11:55Z</dcterms:created>
  <dcterms:modified xsi:type="dcterms:W3CDTF">2026-10-31T14:30:28Z</dcterms:modified>
</cp:coreProperties>
</file>