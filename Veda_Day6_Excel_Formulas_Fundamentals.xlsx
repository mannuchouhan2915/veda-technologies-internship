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9c165bfd2923ad4/Документы/Power BI Desktop/datasets/"/>
    </mc:Choice>
  </mc:AlternateContent>
  <xr:revisionPtr revIDLastSave="53" documentId="11_1AA777FAA9399A51BAE0A901FF0F707AF7301168" xr6:coauthVersionLast="47" xr6:coauthVersionMax="47" xr10:uidLastSave="{999E416E-49CE-4D42-8384-16736AE2BD8D}"/>
  <bookViews>
    <workbookView xWindow="-108" yWindow="-108" windowWidth="23256" windowHeight="13176" activeTab="3" xr2:uid="{00000000-000D-0000-FFFF-FFFF00000000}"/>
  </bookViews>
  <sheets>
    <sheet name="Formula Guide" sheetId="1" r:id="rId1"/>
    <sheet name="Transactions" sheetId="2" r:id="rId2"/>
    <sheet name="Product_Lookup" sheetId="3" r:id="rId3"/>
    <sheet name="Analysis" sheetId="4" r:id="rId4"/>
  </sheets>
  <definedNames>
    <definedName name="ProductIDs">Product_Lookup!A2:A13</definedName>
    <definedName name="ProductLookup">Product_Lookup!A2:C13</definedName>
    <definedName name="ProductNames">Product_Lookup!B2:B13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E9" i="4"/>
  <c r="E8" i="4"/>
  <c r="E6" i="4"/>
  <c r="E4" i="4"/>
  <c r="K15" i="2"/>
  <c r="J15" i="2"/>
  <c r="I15" i="2"/>
  <c r="H15" i="2"/>
  <c r="G15" i="2"/>
  <c r="K14" i="2"/>
  <c r="J14" i="2"/>
  <c r="I14" i="2"/>
  <c r="H14" i="2"/>
  <c r="G14" i="2"/>
  <c r="K13" i="2"/>
  <c r="J13" i="2"/>
  <c r="I13" i="2"/>
  <c r="H13" i="2"/>
  <c r="G13" i="2"/>
  <c r="K12" i="2"/>
  <c r="J12" i="2"/>
  <c r="I12" i="2"/>
  <c r="H12" i="2"/>
  <c r="G12" i="2"/>
  <c r="K11" i="2"/>
  <c r="J11" i="2"/>
  <c r="I11" i="2"/>
  <c r="H11" i="2"/>
  <c r="G11" i="2"/>
  <c r="K10" i="2"/>
  <c r="J10" i="2"/>
  <c r="I10" i="2"/>
  <c r="H10" i="2"/>
  <c r="G10" i="2"/>
  <c r="K9" i="2"/>
  <c r="J9" i="2"/>
  <c r="I9" i="2"/>
  <c r="H9" i="2"/>
  <c r="G9" i="2"/>
  <c r="K8" i="2"/>
  <c r="J8" i="2"/>
  <c r="I8" i="2"/>
  <c r="H8" i="2"/>
  <c r="G8" i="2"/>
  <c r="K7" i="2"/>
  <c r="J7" i="2"/>
  <c r="I7" i="2"/>
  <c r="H7" i="2"/>
  <c r="G7" i="2"/>
  <c r="K6" i="2"/>
  <c r="J6" i="2"/>
  <c r="I6" i="2"/>
  <c r="H6" i="2"/>
  <c r="G6" i="2"/>
  <c r="K5" i="2"/>
  <c r="J5" i="2"/>
  <c r="I5" i="2"/>
  <c r="H5" i="2"/>
  <c r="G5" i="2"/>
  <c r="K4" i="2"/>
  <c r="J4" i="2"/>
  <c r="I4" i="2"/>
  <c r="E7" i="4" s="1"/>
  <c r="H4" i="2"/>
  <c r="G4" i="2"/>
  <c r="E5" i="4" s="1"/>
  <c r="K3" i="2"/>
  <c r="J3" i="2"/>
  <c r="I3" i="2"/>
  <c r="H3" i="2"/>
  <c r="G3" i="2"/>
  <c r="K2" i="2"/>
  <c r="J2" i="2"/>
  <c r="I2" i="2"/>
  <c r="H2" i="2"/>
</calcChain>
</file>

<file path=xl/sharedStrings.xml><?xml version="1.0" encoding="utf-8"?>
<sst xmlns="http://schemas.openxmlformats.org/spreadsheetml/2006/main" count="157" uniqueCount="117">
  <si>
    <t>EXCEL FORMULAS &amp; FUNCTIONS FUNDAMENTALS | TASK 6</t>
  </si>
  <si>
    <t>Function</t>
  </si>
  <si>
    <t>Workbook example</t>
  </si>
  <si>
    <t>When to use it</t>
  </si>
  <si>
    <t>Sheet to try</t>
  </si>
  <si>
    <t>VLOOKUP</t>
  </si>
  <si>
    <t>Finds Category from Product ID</t>
  </si>
  <si>
    <t>Use an exact lookup when the lookup key is the first column of the lookup range.</t>
  </si>
  <si>
    <t>Transactions</t>
  </si>
  <si>
    <t>XLOOKUP</t>
  </si>
  <si>
    <t>Finds Product Name from Product ID</t>
  </si>
  <si>
    <t>Use when you need a flexible lookup, an explicit not-found result, or a return column on either side.</t>
  </si>
  <si>
    <t>IF</t>
  </si>
  <si>
    <t>Labels orders High Value or Standard</t>
  </si>
  <si>
    <t>Use when a result depends on one clear logical test.</t>
  </si>
  <si>
    <t>SUMIFS</t>
  </si>
  <si>
    <t>Calculates selected-region sales</t>
  </si>
  <si>
    <t>Use to add values that meet one or more criteria.</t>
  </si>
  <si>
    <t>Analysis</t>
  </si>
  <si>
    <t>COUNTIFS</t>
  </si>
  <si>
    <t>Counts selected region and category orders</t>
  </si>
  <si>
    <t>Use to count rows that meet one or more criteria.</t>
  </si>
  <si>
    <t>TEXT and LEFT</t>
  </si>
  <si>
    <t>Formats date and extracts Product ID prefix</t>
  </si>
  <si>
    <t>Use TEXT for display labels and LEFT for the first characters of a text value.</t>
  </si>
  <si>
    <t>Transactions / Analysis</t>
  </si>
  <si>
    <t>Transaction ID</t>
  </si>
  <si>
    <t>Order Date</t>
  </si>
  <si>
    <t>Product ID</t>
  </si>
  <si>
    <t>Region</t>
  </si>
  <si>
    <t>Units</t>
  </si>
  <si>
    <t>Sales</t>
  </si>
  <si>
    <t>Category (VLOOKUP)</t>
  </si>
  <si>
    <t>Product Name (XLOOKUP)</t>
  </si>
  <si>
    <t>Order Status (IF)</t>
  </si>
  <si>
    <t>Order Month (TEXT)</t>
  </si>
  <si>
    <t>Product Prefix (LEFT)</t>
  </si>
  <si>
    <t>TX-001</t>
  </si>
  <si>
    <t>FUR-BO-10001798</t>
  </si>
  <si>
    <t>South</t>
  </si>
  <si>
    <t>Test cases</t>
  </si>
  <si>
    <t>What to check</t>
  </si>
  <si>
    <t>TX-002</t>
  </si>
  <si>
    <t>FUR-CH-10000454</t>
  </si>
  <si>
    <t>Blank Product ID</t>
  </si>
  <si>
    <t>VLOOKUP and XLOOKUP show Missing ID</t>
  </si>
  <si>
    <t>TX-003</t>
  </si>
  <si>
    <t>OFF-LA-10000240</t>
  </si>
  <si>
    <t>West</t>
  </si>
  <si>
    <t>Unknown Product ID</t>
  </si>
  <si>
    <t>VLOOKUP and XLOOKUP show Not found</t>
  </si>
  <si>
    <t>TX-004</t>
  </si>
  <si>
    <t>FUR-TA-10000577</t>
  </si>
  <si>
    <t>Sales ≥ $500</t>
  </si>
  <si>
    <t>IF returns High Value</t>
  </si>
  <si>
    <t>TX-005</t>
  </si>
  <si>
    <t>OFF-ST-10000760</t>
  </si>
  <si>
    <t>Named ranges</t>
  </si>
  <si>
    <t>Formulas use ProductLookup, ProductIDs, and ProductNames</t>
  </si>
  <si>
    <t>TX-006</t>
  </si>
  <si>
    <t>FUR-FU-10001487</t>
  </si>
  <si>
    <t>Source note</t>
  </si>
  <si>
    <t>Rows 2–13 are Sample Superstore records. Rows 14–15 test edge cases.</t>
  </si>
  <si>
    <t>TX-007</t>
  </si>
  <si>
    <t>OFF-AR-10002833</t>
  </si>
  <si>
    <t>Editing note</t>
  </si>
  <si>
    <t>Change a Product ID or Sales value to see formulas update.</t>
  </si>
  <si>
    <t>TX-008</t>
  </si>
  <si>
    <t>TEC-PH-10002275</t>
  </si>
  <si>
    <t>TX-009</t>
  </si>
  <si>
    <t>OFF-BI-10003910</t>
  </si>
  <si>
    <t>TX-010</t>
  </si>
  <si>
    <t>OFF-AP-10002892</t>
  </si>
  <si>
    <t>TX-011</t>
  </si>
  <si>
    <t>FUR-TA-10001539</t>
  </si>
  <si>
    <t>TX-012</t>
  </si>
  <si>
    <t>TEC-PH-10002033</t>
  </si>
  <si>
    <t>TEST-013</t>
  </si>
  <si>
    <t>UNKNOWN-001</t>
  </si>
  <si>
    <t>TEST-014</t>
  </si>
  <si>
    <t>East</t>
  </si>
  <si>
    <t>Product Name</t>
  </si>
  <si>
    <t>Category</t>
  </si>
  <si>
    <t>Reference Unit Price</t>
  </si>
  <si>
    <t>Bush Somerset Collection Bookcase</t>
  </si>
  <si>
    <t>Furniture</t>
  </si>
  <si>
    <t>Hon Deluxe Fabric Upholstered Stacking Chairs, Rounded Back</t>
  </si>
  <si>
    <t>Self-Adhesive Address Labels for Typewriters by Universal</t>
  </si>
  <si>
    <t>Office Supplies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</si>
  <si>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</si>
  <si>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</si>
  <si>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</si>
  <si>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</si>
  <si>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</si>
  <si>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Technology</t>
  </si>
  <si>
    <t>DXL Angle-View Binders with Locking Rings by Samsill</t>
  </si>
  <si>
    <t>Belkin F5C206VTEL 6 Outlet Surge</t>
  </si>
  <si>
    <t>Chromcraft Rectangular Conference Tables</t>
  </si>
  <si>
    <t>Konftel 250 Conferencephone- Charcoal black</t>
  </si>
  <si>
    <t>FORMULA ANALYSIS</t>
  </si>
  <si>
    <t>Editable criteria</t>
  </si>
  <si>
    <t>Value</t>
  </si>
  <si>
    <t>Formula</t>
  </si>
  <si>
    <t>Result</t>
  </si>
  <si>
    <t>Use note</t>
  </si>
  <si>
    <t>SUMIFS — Sales for selected region</t>
  </si>
  <si>
    <t>Adds Sales where Region matches the selected criteria.</t>
  </si>
  <si>
    <t>COUNTIFS — Orders by region and category</t>
  </si>
  <si>
    <t>Counts records where both criteria match.</t>
  </si>
  <si>
    <t>AVERAGEIFS — Average sales by region</t>
  </si>
  <si>
    <t>Shows an average only for matching records.</t>
  </si>
  <si>
    <t>COUNTIFS — High-value orders</t>
  </si>
  <si>
    <t>Counts qualifying high-value orders.</t>
  </si>
  <si>
    <t>TEXT — First transaction month</t>
  </si>
  <si>
    <t>Converts the first date into a readable month label.</t>
  </si>
  <si>
    <t>LEFT — First product ID prefix</t>
  </si>
  <si>
    <t>Extracts the first three characters from a product 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</si>
</sst>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mmm\ d\,\ yyyy"/>
  </numFmts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7F6000"/>
      <name val="Carlito"/>
    </font>
    <font>
      <sz val="11"/>
      <color theme="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D9E2F3"/>
      </left>
      <right/>
      <top style="thin">
        <color theme="4" tint="0.39997558519241921"/>
      </top>
      <bottom style="thin">
        <color rgb="FFD9E2F3"/>
      </bottom>
      <diagonal/>
    </border>
    <border>
      <left/>
      <right/>
      <top style="thin">
        <color theme="4" tint="0.39997558519241921"/>
      </top>
      <bottom style="thin">
        <color rgb="FFD9E2F3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wrapText="1"/>
    </xf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0" fillId="3" borderId="0" xfId="0" applyFill="1"/>
    <xf numFmtId="165" fontId="0" fillId="3" borderId="0" xfId="0" applyNumberFormat="1" applyFill="1"/>
    <xf numFmtId="3" fontId="0" fillId="3" borderId="0" xfId="0" applyNumberFormat="1" applyFill="1"/>
    <xf numFmtId="164" fontId="0" fillId="3" borderId="0" xfId="0" applyNumberFormat="1" applyFill="1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165" fontId="0" fillId="3" borderId="7" xfId="0" applyNumberFormat="1" applyFill="1" applyBorder="1"/>
    <xf numFmtId="0" fontId="0" fillId="3" borderId="7" xfId="0" applyFill="1" applyBorder="1"/>
    <xf numFmtId="3" fontId="0" fillId="3" borderId="7" xfId="0" applyNumberFormat="1" applyFill="1" applyBorder="1"/>
    <xf numFmtId="164" fontId="0" fillId="3" borderId="7" xfId="0" applyNumberFormat="1" applyFill="1" applyBorder="1"/>
    <xf numFmtId="0" fontId="0" fillId="3" borderId="8" xfId="0" applyFill="1" applyBorder="1"/>
    <xf numFmtId="0" fontId="1" fillId="4" borderId="0" xfId="0" applyFont="1" applyFill="1"/>
    <xf numFmtId="0" fontId="1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3" borderId="0" xfId="0" applyFont="1" applyFill="1"/>
    <xf numFmtId="0" fontId="1" fillId="4" borderId="1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2" fillId="2" borderId="0" xfId="0" applyFont="1" applyFill="1" applyAlignment="1">
      <alignment vertical="center"/>
    </xf>
    <xf numFmtId="0" fontId="4" fillId="5" borderId="10" xfId="0" applyFont="1" applyFill="1" applyBorder="1"/>
    <xf numFmtId="0" fontId="4" fillId="0" borderId="10" xfId="0" applyFont="1" applyBorder="1"/>
    <xf numFmtId="0" fontId="4" fillId="5" borderId="13" xfId="0" applyFont="1" applyFill="1" applyBorder="1"/>
    <xf numFmtId="0" fontId="4" fillId="0" borderId="13" xfId="0" applyFont="1" applyBorder="1"/>
    <xf numFmtId="0" fontId="4" fillId="3" borderId="9" xfId="0" applyFont="1" applyFill="1" applyBorder="1"/>
    <xf numFmtId="0" fontId="4" fillId="3" borderId="11" xfId="0" applyFont="1" applyFill="1" applyBorder="1"/>
    <xf numFmtId="165" fontId="4" fillId="3" borderId="10" xfId="0" applyNumberFormat="1" applyFont="1" applyFill="1" applyBorder="1"/>
    <xf numFmtId="0" fontId="4" fillId="3" borderId="10" xfId="0" applyFont="1" applyFill="1" applyBorder="1"/>
    <xf numFmtId="165" fontId="4" fillId="3" borderId="12" xfId="0" applyNumberFormat="1" applyFont="1" applyFill="1" applyBorder="1"/>
    <xf numFmtId="0" fontId="4" fillId="3" borderId="1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ransactionsData" displayName="TransactionsData" ref="A1:K15" totalsRowShown="0">
  <tableColumns count="11">
    <tableColumn id="1" xr3:uid="{00000000-0010-0000-0000-000001000000}" name="Transaction ID"/>
    <tableColumn id="2" xr3:uid="{00000000-0010-0000-0000-000002000000}" name="Order Date"/>
    <tableColumn id="3" xr3:uid="{00000000-0010-0000-0000-000003000000}" name="Product ID"/>
    <tableColumn id="4" xr3:uid="{00000000-0010-0000-0000-000004000000}" name="Region"/>
    <tableColumn id="5" xr3:uid="{00000000-0010-0000-0000-000005000000}" name="Units"/>
    <tableColumn id="6" xr3:uid="{00000000-0010-0000-0000-000006000000}" name="Sales"/>
    <tableColumn id="7" xr3:uid="{00000000-0010-0000-0000-000007000000}" name="Category (VLOOKUP)"/>
    <tableColumn id="8" xr3:uid="{00000000-0010-0000-0000-000008000000}" name="Product Name (XLOOKUP)"/>
    <tableColumn id="9" xr3:uid="{00000000-0010-0000-0000-000009000000}" name="Order Status (IF)"/>
    <tableColumn id="10" xr3:uid="{00000000-0010-0000-0000-00000A000000}" name="Order Month (TEXT)"/>
    <tableColumn id="11" xr3:uid="{00000000-0010-0000-0000-00000B000000}" name="Product Prefix (LEFT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ProductLookupTable" displayName="ProductLookupTable" ref="A1:D13" totalsRowShown="0">
  <tableColumns count="4">
    <tableColumn id="1" xr3:uid="{00000000-0010-0000-0100-000001000000}" name="Product ID"/>
    <tableColumn id="2" xr3:uid="{00000000-0010-0000-0100-000002000000}" name="Product Name"/>
    <tableColumn id="3" xr3:uid="{00000000-0010-0000-0100-000003000000}" name="Category"/>
    <tableColumn id="4" xr3:uid="{00000000-0010-0000-0100-000004000000}" name="Reference Unit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ustom 1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4D94D8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D14"/>
  <sheetViews>
    <sheetView showGridLines="0" workbookViewId="0">
      <selection activeCell="B14" sqref="B14"/>
    </sheetView>
  </sheetViews>
  <sheetFormatPr defaultRowHeight="13.8"/>
  <cols>
    <col min="1" max="1" width="18" customWidth="1"/>
    <col min="2" max="2" width="36" customWidth="1"/>
    <col min="3" max="3" width="64" customWidth="1"/>
    <col min="4" max="4" width="25" customWidth="1"/>
  </cols>
  <sheetData>
    <row r="1" spans="1:4" ht="30" customHeight="1">
      <c r="A1" s="29" t="s">
        <v>0</v>
      </c>
      <c r="B1" s="29"/>
      <c r="C1" s="29"/>
      <c r="D1" s="29"/>
    </row>
    <row r="3" spans="1:4">
      <c r="A3" s="26" t="s">
        <v>1</v>
      </c>
      <c r="B3" s="27" t="s">
        <v>2</v>
      </c>
      <c r="C3" s="27" t="s">
        <v>3</v>
      </c>
      <c r="D3" s="28" t="s">
        <v>4</v>
      </c>
    </row>
    <row r="4" spans="1:4">
      <c r="A4" s="34" t="s">
        <v>5</v>
      </c>
      <c r="B4" s="36" t="s">
        <v>6</v>
      </c>
      <c r="C4" s="37" t="s">
        <v>7</v>
      </c>
      <c r="D4" s="37" t="s">
        <v>8</v>
      </c>
    </row>
    <row r="5" spans="1:4">
      <c r="A5" s="35" t="s">
        <v>9</v>
      </c>
      <c r="B5" s="38" t="s">
        <v>10</v>
      </c>
      <c r="C5" s="39" t="s">
        <v>11</v>
      </c>
      <c r="D5" s="39" t="s">
        <v>8</v>
      </c>
    </row>
    <row r="6" spans="1:4">
      <c r="A6" s="34" t="s">
        <v>12</v>
      </c>
      <c r="B6" s="36" t="s">
        <v>13</v>
      </c>
      <c r="C6" s="37" t="s">
        <v>14</v>
      </c>
      <c r="D6" s="37" t="s">
        <v>8</v>
      </c>
    </row>
    <row r="7" spans="1:4">
      <c r="A7" s="35" t="s">
        <v>15</v>
      </c>
      <c r="B7" s="38" t="s">
        <v>16</v>
      </c>
      <c r="C7" s="39" t="s">
        <v>17</v>
      </c>
      <c r="D7" s="39" t="s">
        <v>18</v>
      </c>
    </row>
    <row r="8" spans="1:4">
      <c r="A8" s="34" t="s">
        <v>19</v>
      </c>
      <c r="B8" s="36" t="s">
        <v>20</v>
      </c>
      <c r="C8" s="37" t="s">
        <v>21</v>
      </c>
      <c r="D8" s="37" t="s">
        <v>18</v>
      </c>
    </row>
    <row r="9" spans="1:4">
      <c r="A9" s="35" t="s">
        <v>22</v>
      </c>
      <c r="B9" s="38" t="s">
        <v>23</v>
      </c>
      <c r="C9" s="39" t="s">
        <v>24</v>
      </c>
      <c r="D9" s="39" t="s">
        <v>25</v>
      </c>
    </row>
    <row r="12" spans="1:4" ht="28.05" customHeight="1"/>
    <row r="14" spans="1:4" ht="28.05" customHeight="1"/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Q15"/>
  <sheetViews>
    <sheetView showGridLines="0" workbookViewId="0">
      <pane ySplit="1" topLeftCell="A2" activePane="bottomLeft" state="frozen"/>
      <selection pane="bottomLeft" activeCell="C20" sqref="C20"/>
    </sheetView>
  </sheetViews>
  <sheetFormatPr defaultRowHeight="13.8"/>
  <cols>
    <col min="1" max="1" width="14" customWidth="1"/>
    <col min="2" max="2" width="15" customWidth="1"/>
    <col min="3" max="3" width="20" customWidth="1"/>
    <col min="4" max="4" width="14" customWidth="1"/>
    <col min="5" max="5" width="9" customWidth="1"/>
    <col min="6" max="6" width="13" customWidth="1"/>
    <col min="7" max="7" width="21" customWidth="1"/>
    <col min="8" max="8" width="60" customWidth="1"/>
    <col min="9" max="10" width="18" customWidth="1"/>
    <col min="11" max="11" width="20" customWidth="1"/>
    <col min="13" max="13" width="20" customWidth="1"/>
    <col min="14" max="14" width="55" customWidth="1"/>
  </cols>
  <sheetData>
    <row r="1" spans="1:17" ht="27.6">
      <c r="A1" s="9" t="s">
        <v>26</v>
      </c>
      <c r="B1" s="10" t="s">
        <v>27</v>
      </c>
      <c r="C1" s="10" t="s">
        <v>28</v>
      </c>
      <c r="D1" s="10" t="s">
        <v>29</v>
      </c>
      <c r="E1" s="10" t="s">
        <v>30</v>
      </c>
      <c r="F1" s="10" t="s">
        <v>31</v>
      </c>
      <c r="G1" s="10" t="s">
        <v>32</v>
      </c>
      <c r="H1" s="10" t="s">
        <v>33</v>
      </c>
      <c r="I1" s="10" t="s">
        <v>34</v>
      </c>
      <c r="J1" s="10" t="s">
        <v>35</v>
      </c>
      <c r="K1" s="11" t="s">
        <v>36</v>
      </c>
    </row>
    <row r="2" spans="1:17">
      <c r="A2" s="12" t="s">
        <v>37</v>
      </c>
      <c r="B2" s="3">
        <v>42682</v>
      </c>
      <c r="C2" t="s">
        <v>38</v>
      </c>
      <c r="D2" t="s">
        <v>39</v>
      </c>
      <c r="E2" s="4">
        <v>2</v>
      </c>
      <c r="F2" s="2">
        <v>261.95999999999998</v>
      </c>
      <c r="G2" t="str">
        <f>IF(C2="","Missing ID",IFERROR(VLOOKUP(C2,ProductLookup,3,FALSE),"Not found"))</f>
        <v>Not found</v>
      </c>
      <c r="H2" t="str">
        <f t="shared" ref="H2:H15" si="0">IF(C2="","Missing ID",_xlfn.XLOOKUP(C2,ProductIDs,ProductNames,"Not found",0))</f>
        <v>Not found</v>
      </c>
      <c r="I2" t="str">
        <f t="shared" ref="I2:I15" si="1">IF(F2="","Missing Sales",IF(F2&gt;=500,"High Value","Standard"))</f>
        <v>Standard</v>
      </c>
      <c r="J2" t="str">
        <f t="shared" ref="J2:J15" si="2">TEXT(B2,"mmm-yyyy")</f>
        <v>Nov-2016</v>
      </c>
      <c r="K2" s="13" t="str">
        <f t="shared" ref="K2:K15" si="3">LEFT(C2,3)</f>
        <v>FUR</v>
      </c>
      <c r="M2" s="23" t="s">
        <v>40</v>
      </c>
      <c r="N2" s="23" t="s">
        <v>41</v>
      </c>
      <c r="O2" s="23"/>
      <c r="P2" s="23"/>
      <c r="Q2" s="23"/>
    </row>
    <row r="3" spans="1:17">
      <c r="A3" s="12" t="s">
        <v>42</v>
      </c>
      <c r="B3" s="3">
        <v>42682</v>
      </c>
      <c r="C3" t="s">
        <v>43</v>
      </c>
      <c r="D3" t="s">
        <v>39</v>
      </c>
      <c r="E3" s="4">
        <v>3</v>
      </c>
      <c r="F3" s="2">
        <v>731.94</v>
      </c>
      <c r="G3" t="str">
        <f t="shared" ref="G3:G15" si="4">IF(C3="","Missing ID",IFERROR(VLOOKUP(C3,ProductLookup,3,FALSE),"Not found"))</f>
        <v>Not found</v>
      </c>
      <c r="H3" t="str">
        <f t="shared" si="0"/>
        <v>Not found</v>
      </c>
      <c r="I3" t="str">
        <f t="shared" si="1"/>
        <v>High Value</v>
      </c>
      <c r="J3" t="str">
        <f t="shared" si="2"/>
        <v>Nov-2016</v>
      </c>
      <c r="K3" s="13" t="str">
        <f t="shared" si="3"/>
        <v>FUR</v>
      </c>
      <c r="M3" s="24" t="s">
        <v>44</v>
      </c>
      <c r="N3" s="24" t="s">
        <v>45</v>
      </c>
      <c r="O3" s="24"/>
      <c r="P3" s="24"/>
      <c r="Q3" s="24"/>
    </row>
    <row r="4" spans="1:17">
      <c r="A4" s="12" t="s">
        <v>46</v>
      </c>
      <c r="B4" s="3">
        <v>42533</v>
      </c>
      <c r="C4" t="s">
        <v>47</v>
      </c>
      <c r="D4" t="s">
        <v>48</v>
      </c>
      <c r="E4" s="4">
        <v>2</v>
      </c>
      <c r="F4" s="2">
        <v>14.62</v>
      </c>
      <c r="G4" t="str">
        <f t="shared" si="4"/>
        <v>Not found</v>
      </c>
      <c r="H4" t="str">
        <f t="shared" si="0"/>
        <v>Not found</v>
      </c>
      <c r="I4" t="str">
        <f t="shared" si="1"/>
        <v>Standard</v>
      </c>
      <c r="J4" t="str">
        <f t="shared" si="2"/>
        <v>Jun-2016</v>
      </c>
      <c r="K4" s="13" t="str">
        <f t="shared" si="3"/>
        <v>OFF</v>
      </c>
      <c r="M4" s="24" t="s">
        <v>49</v>
      </c>
      <c r="N4" s="24" t="s">
        <v>50</v>
      </c>
      <c r="O4" s="24"/>
      <c r="P4" s="24"/>
      <c r="Q4" s="24"/>
    </row>
    <row r="5" spans="1:17">
      <c r="A5" s="12" t="s">
        <v>51</v>
      </c>
      <c r="B5" s="3">
        <v>42288</v>
      </c>
      <c r="C5" t="s">
        <v>52</v>
      </c>
      <c r="D5" t="s">
        <v>39</v>
      </c>
      <c r="E5" s="4">
        <v>5</v>
      </c>
      <c r="F5" s="2">
        <v>957.57749999999999</v>
      </c>
      <c r="G5" t="str">
        <f t="shared" si="4"/>
        <v>Not found</v>
      </c>
      <c r="H5" t="str">
        <f t="shared" si="0"/>
        <v>Not found</v>
      </c>
      <c r="I5" t="str">
        <f t="shared" si="1"/>
        <v>High Value</v>
      </c>
      <c r="J5" t="str">
        <f t="shared" si="2"/>
        <v>Oct-2015</v>
      </c>
      <c r="K5" s="13" t="str">
        <f t="shared" si="3"/>
        <v>FUR</v>
      </c>
      <c r="M5" s="24" t="s">
        <v>53</v>
      </c>
      <c r="N5" s="24" t="s">
        <v>54</v>
      </c>
      <c r="O5" s="24"/>
      <c r="P5" s="24"/>
      <c r="Q5" s="24"/>
    </row>
    <row r="6" spans="1:17">
      <c r="A6" s="12" t="s">
        <v>55</v>
      </c>
      <c r="B6" s="3">
        <v>42288</v>
      </c>
      <c r="C6" t="s">
        <v>56</v>
      </c>
      <c r="D6" t="s">
        <v>39</v>
      </c>
      <c r="E6" s="4">
        <v>2</v>
      </c>
      <c r="F6" s="2">
        <v>22.367999999999999</v>
      </c>
      <c r="G6" t="str">
        <f t="shared" si="4"/>
        <v>Not found</v>
      </c>
      <c r="H6" t="str">
        <f t="shared" si="0"/>
        <v>Not found</v>
      </c>
      <c r="I6" t="str">
        <f t="shared" si="1"/>
        <v>Standard</v>
      </c>
      <c r="J6" t="str">
        <f t="shared" si="2"/>
        <v>Oct-2015</v>
      </c>
      <c r="K6" s="13" t="str">
        <f t="shared" si="3"/>
        <v>OFF</v>
      </c>
      <c r="M6" s="24" t="s">
        <v>57</v>
      </c>
      <c r="N6" s="24" t="s">
        <v>58</v>
      </c>
      <c r="O6" s="24"/>
      <c r="P6" s="24"/>
      <c r="Q6" s="24"/>
    </row>
    <row r="7" spans="1:17" ht="27.6">
      <c r="A7" s="12" t="s">
        <v>59</v>
      </c>
      <c r="B7" s="3">
        <v>41799</v>
      </c>
      <c r="C7" t="s">
        <v>60</v>
      </c>
      <c r="D7" t="s">
        <v>48</v>
      </c>
      <c r="E7" s="4">
        <v>7</v>
      </c>
      <c r="F7" s="2">
        <v>48.86</v>
      </c>
      <c r="G7" t="str">
        <f t="shared" si="4"/>
        <v>Not found</v>
      </c>
      <c r="H7" t="str">
        <f t="shared" si="0"/>
        <v>Not found</v>
      </c>
      <c r="I7" t="str">
        <f t="shared" si="1"/>
        <v>Standard</v>
      </c>
      <c r="J7" t="str">
        <f t="shared" si="2"/>
        <v>Jun-2014</v>
      </c>
      <c r="K7" s="13" t="str">
        <f t="shared" si="3"/>
        <v>FUR</v>
      </c>
      <c r="M7" s="24" t="s">
        <v>61</v>
      </c>
      <c r="N7" s="24" t="s">
        <v>62</v>
      </c>
      <c r="O7" s="24"/>
      <c r="P7" s="24"/>
      <c r="Q7" s="24"/>
    </row>
    <row r="8" spans="1:17">
      <c r="A8" s="12" t="s">
        <v>63</v>
      </c>
      <c r="B8" s="3">
        <v>41799</v>
      </c>
      <c r="C8" t="s">
        <v>64</v>
      </c>
      <c r="D8" t="s">
        <v>48</v>
      </c>
      <c r="E8" s="4">
        <v>4</v>
      </c>
      <c r="F8" s="2">
        <v>7.28</v>
      </c>
      <c r="G8" t="str">
        <f t="shared" si="4"/>
        <v>Not found</v>
      </c>
      <c r="H8" t="str">
        <f t="shared" si="0"/>
        <v>Not found</v>
      </c>
      <c r="I8" t="str">
        <f t="shared" si="1"/>
        <v>Standard</v>
      </c>
      <c r="J8" t="str">
        <f t="shared" si="2"/>
        <v>Jun-2014</v>
      </c>
      <c r="K8" s="13" t="str">
        <f t="shared" si="3"/>
        <v>OFF</v>
      </c>
      <c r="M8" s="24" t="s">
        <v>65</v>
      </c>
      <c r="N8" s="24" t="s">
        <v>66</v>
      </c>
      <c r="O8" s="24"/>
      <c r="P8" s="24"/>
      <c r="Q8" s="24"/>
    </row>
    <row r="9" spans="1:17">
      <c r="A9" s="12" t="s">
        <v>67</v>
      </c>
      <c r="B9" s="3">
        <v>41799</v>
      </c>
      <c r="C9" t="s">
        <v>68</v>
      </c>
      <c r="D9" t="s">
        <v>48</v>
      </c>
      <c r="E9" s="4">
        <v>6</v>
      </c>
      <c r="F9" s="2">
        <v>907.15200000000004</v>
      </c>
      <c r="G9" t="str">
        <f t="shared" si="4"/>
        <v>Not found</v>
      </c>
      <c r="H9" t="str">
        <f t="shared" si="0"/>
        <v>Not found</v>
      </c>
      <c r="I9" t="str">
        <f t="shared" si="1"/>
        <v>High Value</v>
      </c>
      <c r="J9" t="str">
        <f t="shared" si="2"/>
        <v>Jun-2014</v>
      </c>
      <c r="K9" s="13" t="str">
        <f t="shared" si="3"/>
        <v>TEC</v>
      </c>
    </row>
    <row r="10" spans="1:17">
      <c r="A10" s="12" t="s">
        <v>69</v>
      </c>
      <c r="B10" s="3">
        <v>41799</v>
      </c>
      <c r="C10" t="s">
        <v>70</v>
      </c>
      <c r="D10" t="s">
        <v>48</v>
      </c>
      <c r="E10" s="4">
        <v>3</v>
      </c>
      <c r="F10" s="2">
        <v>18.504000000000001</v>
      </c>
      <c r="G10" t="str">
        <f t="shared" si="4"/>
        <v>Not found</v>
      </c>
      <c r="H10" t="str">
        <f t="shared" si="0"/>
        <v>Not found</v>
      </c>
      <c r="I10" t="str">
        <f t="shared" si="1"/>
        <v>Standard</v>
      </c>
      <c r="J10" t="str">
        <f t="shared" si="2"/>
        <v>Jun-2014</v>
      </c>
      <c r="K10" s="13" t="str">
        <f t="shared" si="3"/>
        <v>OFF</v>
      </c>
    </row>
    <row r="11" spans="1:17">
      <c r="A11" s="12" t="s">
        <v>71</v>
      </c>
      <c r="B11" s="3">
        <v>41799</v>
      </c>
      <c r="C11" t="s">
        <v>72</v>
      </c>
      <c r="D11" t="s">
        <v>48</v>
      </c>
      <c r="E11" s="4">
        <v>5</v>
      </c>
      <c r="F11" s="2">
        <v>114.9</v>
      </c>
      <c r="G11" t="str">
        <f t="shared" si="4"/>
        <v>Not found</v>
      </c>
      <c r="H11" t="str">
        <f t="shared" si="0"/>
        <v>Not found</v>
      </c>
      <c r="I11" t="str">
        <f t="shared" si="1"/>
        <v>Standard</v>
      </c>
      <c r="J11" t="str">
        <f t="shared" si="2"/>
        <v>Jun-2014</v>
      </c>
      <c r="K11" s="13" t="str">
        <f t="shared" si="3"/>
        <v>OFF</v>
      </c>
    </row>
    <row r="12" spans="1:17">
      <c r="A12" s="12" t="s">
        <v>73</v>
      </c>
      <c r="B12" s="3">
        <v>41799</v>
      </c>
      <c r="C12" t="s">
        <v>74</v>
      </c>
      <c r="D12" t="s">
        <v>48</v>
      </c>
      <c r="E12" s="4">
        <v>9</v>
      </c>
      <c r="F12" s="2">
        <v>1706.184</v>
      </c>
      <c r="G12" t="str">
        <f t="shared" si="4"/>
        <v>Not found</v>
      </c>
      <c r="H12" t="str">
        <f t="shared" si="0"/>
        <v>Not found</v>
      </c>
      <c r="I12" t="str">
        <f t="shared" si="1"/>
        <v>High Value</v>
      </c>
      <c r="J12" t="str">
        <f t="shared" si="2"/>
        <v>Jun-2014</v>
      </c>
      <c r="K12" s="13" t="str">
        <f t="shared" si="3"/>
        <v>FUR</v>
      </c>
    </row>
    <row r="13" spans="1:17">
      <c r="A13" s="12" t="s">
        <v>75</v>
      </c>
      <c r="B13" s="3">
        <v>41799</v>
      </c>
      <c r="C13" t="s">
        <v>76</v>
      </c>
      <c r="D13" t="s">
        <v>48</v>
      </c>
      <c r="E13" s="4">
        <v>4</v>
      </c>
      <c r="F13" s="2">
        <v>911.42399999999998</v>
      </c>
      <c r="G13" t="str">
        <f t="shared" si="4"/>
        <v>Not found</v>
      </c>
      <c r="H13" t="str">
        <f t="shared" si="0"/>
        <v>Not found</v>
      </c>
      <c r="I13" t="str">
        <f t="shared" si="1"/>
        <v>High Value</v>
      </c>
      <c r="J13" t="str">
        <f t="shared" si="2"/>
        <v>Jun-2014</v>
      </c>
      <c r="K13" s="13" t="str">
        <f t="shared" si="3"/>
        <v>TEC</v>
      </c>
    </row>
    <row r="14" spans="1:17">
      <c r="A14" s="14" t="s">
        <v>77</v>
      </c>
      <c r="B14" s="6">
        <v>43070</v>
      </c>
      <c r="C14" s="5" t="s">
        <v>78</v>
      </c>
      <c r="D14" s="5" t="s">
        <v>48</v>
      </c>
      <c r="E14" s="7">
        <v>1</v>
      </c>
      <c r="F14" s="8">
        <v>250</v>
      </c>
      <c r="G14" s="5" t="str">
        <f t="shared" si="4"/>
        <v>Not found</v>
      </c>
      <c r="H14" s="5" t="str">
        <f t="shared" si="0"/>
        <v>Not found</v>
      </c>
      <c r="I14" s="5" t="str">
        <f t="shared" si="1"/>
        <v>Standard</v>
      </c>
      <c r="J14" s="5" t="str">
        <f t="shared" si="2"/>
        <v>Dec-2017</v>
      </c>
      <c r="K14" s="15" t="str">
        <f t="shared" si="3"/>
        <v>UNK</v>
      </c>
    </row>
    <row r="15" spans="1:17">
      <c r="A15" s="16" t="s">
        <v>79</v>
      </c>
      <c r="B15" s="17">
        <v>43071</v>
      </c>
      <c r="C15" s="18"/>
      <c r="D15" s="18" t="s">
        <v>80</v>
      </c>
      <c r="E15" s="19">
        <v>1</v>
      </c>
      <c r="F15" s="20">
        <v>150</v>
      </c>
      <c r="G15" s="18" t="str">
        <f t="shared" si="4"/>
        <v>Missing ID</v>
      </c>
      <c r="H15" s="18" t="str">
        <f t="shared" si="0"/>
        <v>Missing ID</v>
      </c>
      <c r="I15" s="18" t="str">
        <f t="shared" si="1"/>
        <v>Standard</v>
      </c>
      <c r="J15" s="18" t="str">
        <f t="shared" si="2"/>
        <v>Dec-2017</v>
      </c>
      <c r="K15" s="21" t="str">
        <f t="shared" si="3"/>
        <v/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</sheetPr>
  <dimension ref="A1:D13"/>
  <sheetViews>
    <sheetView showGridLines="0" workbookViewId="0">
      <pane ySplit="1" topLeftCell="A2" activePane="bottomLeft" state="frozen"/>
      <selection pane="bottomLeft" activeCell="B23" sqref="B23"/>
    </sheetView>
  </sheetViews>
  <sheetFormatPr defaultRowHeight="13.8"/>
  <cols>
    <col min="1" max="1" width="16.5" bestFit="1" customWidth="1"/>
    <col min="2" max="2" width="57.59765625" bestFit="1" customWidth="1"/>
    <col min="3" max="3" width="13.09765625" bestFit="1" customWidth="1"/>
    <col min="4" max="4" width="14.09765625" bestFit="1" customWidth="1"/>
  </cols>
  <sheetData>
    <row r="1" spans="1:4" ht="27.6">
      <c r="A1" s="1" t="s">
        <v>28</v>
      </c>
      <c r="B1" s="1" t="s">
        <v>81</v>
      </c>
      <c r="C1" s="1" t="s">
        <v>82</v>
      </c>
      <c r="D1" s="1" t="s">
        <v>83</v>
      </c>
    </row>
    <row r="2" spans="1:4">
      <c r="A2" t="s">
        <v>38</v>
      </c>
      <c r="B2" t="s">
        <v>84</v>
      </c>
      <c r="C2" t="s">
        <v>85</v>
      </c>
      <c r="D2" s="2">
        <v>130.97999999999999</v>
      </c>
    </row>
    <row r="3" spans="1:4">
      <c r="A3" t="s">
        <v>43</v>
      </c>
      <c r="B3" t="s">
        <v>86</v>
      </c>
      <c r="C3" t="s">
        <v>85</v>
      </c>
      <c r="D3" s="2">
        <v>243.98000000000002</v>
      </c>
    </row>
    <row r="4" spans="1:4">
      <c r="A4" t="s">
        <v>47</v>
      </c>
      <c r="B4" t="s">
        <v>87</v>
      </c>
      <c r="C4" t="s">
        <v>88</v>
      </c>
      <c r="D4" s="2">
        <v>7.31</v>
      </c>
    </row>
    <row r="5" spans="1:4">
      <c r="A5" t="s">
        <v>52</v>
      </c>
      <c r="B5" t="s">
        <v>89</v>
      </c>
      <c r="C5" t="s">
        <v>85</v>
      </c>
      <c r="D5" s="2">
        <v>191.5155</v>
      </c>
    </row>
    <row r="6" spans="1:4">
      <c r="A6" t="s">
        <v>56</v>
      </c>
      <c r="B6" t="s">
        <v>90</v>
      </c>
      <c r="C6" t="s">
        <v>88</v>
      </c>
      <c r="D6" s="2">
        <v>11.183999999999999</v>
      </c>
    </row>
    <row r="7" spans="1:4">
      <c r="A7" t="s">
        <v>60</v>
      </c>
      <c r="B7" t="s">
        <v>91</v>
      </c>
      <c r="C7" t="s">
        <v>85</v>
      </c>
      <c r="D7" s="2">
        <v>6.9799999999999995</v>
      </c>
    </row>
    <row r="8" spans="1:4">
      <c r="A8" t="s">
        <v>64</v>
      </c>
      <c r="B8" t="s">
        <v>92</v>
      </c>
      <c r="C8" t="s">
        <v>88</v>
      </c>
      <c r="D8" s="2">
        <v>1.82</v>
      </c>
    </row>
    <row r="9" spans="1:4">
      <c r="A9" t="s">
        <v>68</v>
      </c>
      <c r="B9" t="s">
        <v>93</v>
      </c>
      <c r="C9" t="s">
        <v>94</v>
      </c>
      <c r="D9" s="2">
        <v>151.19200000000001</v>
      </c>
    </row>
    <row r="10" spans="1:4">
      <c r="A10" t="s">
        <v>70</v>
      </c>
      <c r="B10" t="s">
        <v>95</v>
      </c>
      <c r="C10" t="s">
        <v>88</v>
      </c>
      <c r="D10" s="2">
        <v>6.1680000000000001</v>
      </c>
    </row>
    <row r="11" spans="1:4">
      <c r="A11" t="s">
        <v>72</v>
      </c>
      <c r="B11" t="s">
        <v>96</v>
      </c>
      <c r="C11" t="s">
        <v>88</v>
      </c>
      <c r="D11" s="2">
        <v>22.98</v>
      </c>
    </row>
    <row r="12" spans="1:4">
      <c r="A12" t="s">
        <v>74</v>
      </c>
      <c r="B12" t="s">
        <v>97</v>
      </c>
      <c r="C12" t="s">
        <v>85</v>
      </c>
      <c r="D12" s="2">
        <v>189.57599999999999</v>
      </c>
    </row>
    <row r="13" spans="1:4">
      <c r="A13" t="s">
        <v>76</v>
      </c>
      <c r="B13" t="s">
        <v>98</v>
      </c>
      <c r="C13" t="s">
        <v>94</v>
      </c>
      <c r="D13" s="2">
        <v>227.85599999999999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</sheetPr>
  <dimension ref="A1:F12"/>
  <sheetViews>
    <sheetView showGridLines="0" tabSelected="1" workbookViewId="0">
      <selection activeCell="D18" sqref="D18"/>
    </sheetView>
  </sheetViews>
  <sheetFormatPr defaultRowHeight="13.8"/>
  <cols>
    <col min="1" max="1" width="24" customWidth="1"/>
    <col min="2" max="2" width="18" customWidth="1"/>
    <col min="3" max="3" width="3" customWidth="1"/>
    <col min="4" max="4" width="33" customWidth="1"/>
    <col min="5" max="5" width="18" customWidth="1"/>
    <col min="6" max="6" width="47" customWidth="1"/>
  </cols>
  <sheetData>
    <row r="1" spans="1:6" ht="30" customHeight="1">
      <c r="A1" s="29" t="s">
        <v>99</v>
      </c>
      <c r="B1" s="29"/>
      <c r="C1" s="29"/>
      <c r="D1" s="29"/>
      <c r="E1" s="29"/>
      <c r="F1" s="29"/>
    </row>
    <row r="3" spans="1:6">
      <c r="A3" s="22" t="s">
        <v>100</v>
      </c>
      <c r="B3" s="22" t="s">
        <v>101</v>
      </c>
      <c r="D3" s="26" t="s">
        <v>102</v>
      </c>
      <c r="E3" s="27" t="s">
        <v>103</v>
      </c>
      <c r="F3" s="28" t="s">
        <v>104</v>
      </c>
    </row>
    <row r="4" spans="1:6">
      <c r="A4" s="25" t="s">
        <v>29</v>
      </c>
      <c r="B4" s="25" t="s">
        <v>80</v>
      </c>
      <c r="D4" s="32" t="s">
        <v>105</v>
      </c>
      <c r="E4" s="30">
        <f>SUMIFS(Transactions!$F$2:$F$15,Transactions!$D$2:$D$15,$B$4)</f>
        <v>150</v>
      </c>
      <c r="F4" s="30" t="s">
        <v>106</v>
      </c>
    </row>
    <row r="5" spans="1:6">
      <c r="A5" s="25" t="s">
        <v>82</v>
      </c>
      <c r="B5" s="25" t="s">
        <v>85</v>
      </c>
      <c r="D5" s="33" t="s">
        <v>107</v>
      </c>
      <c r="E5" s="31">
        <f>COUNTIFS(Transactions!$D$2:$D$15,$B$4,Transactions!$G$2:$G$15,$B$5)</f>
        <v>0</v>
      </c>
      <c r="F5" s="31" t="s">
        <v>108</v>
      </c>
    </row>
    <row r="6" spans="1:6">
      <c r="D6" s="32" t="s">
        <v>109</v>
      </c>
      <c r="E6" s="30">
        <f>AVERAGEIFS(Transactions!$F$2:$F$15,Transactions!$D$2:$D$15,$B$4)</f>
        <v>150</v>
      </c>
      <c r="F6" s="30" t="s">
        <v>110</v>
      </c>
    </row>
    <row r="7" spans="1:6">
      <c r="D7" s="33" t="s">
        <v>111</v>
      </c>
      <c r="E7" s="31">
        <f>COUNTIFS(Transactions!$D$2:$D$15,$B$4,Transactions!$I$2:$I$15,"High Value")</f>
        <v>0</v>
      </c>
      <c r="F7" s="31" t="s">
        <v>112</v>
      </c>
    </row>
    <row r="8" spans="1:6">
      <c r="D8" s="32" t="s">
        <v>113</v>
      </c>
      <c r="E8" s="30" t="str">
        <f>TEXT(Transactions!B2,"mmmm yyyy")</f>
        <v>November 2016</v>
      </c>
      <c r="F8" s="30" t="s">
        <v>114</v>
      </c>
    </row>
    <row r="9" spans="1:6">
      <c r="D9" s="33" t="s">
        <v>115</v>
      </c>
      <c r="E9" s="31" t="str">
        <f>LEFT(Transactions!C2,3)</f>
        <v>FUR</v>
      </c>
      <c r="F9" s="31" t="s">
        <v>116</v>
      </c>
    </row>
    <row r="12" spans="1:6" ht="28.05" customHeight="1"/>
  </sheetData>
  <mergeCells count="1">
    <mergeCell ref="A1:F1"/>
  </mergeCells>
  <dataValidations count="2">
    <dataValidation type="list" sqref="B4" xr:uid="{00000000-0002-0000-0300-000000000000}">
      <formula1>"Central,East,South,West"</formula1>
    </dataValidation>
    <dataValidation type="list" sqref="B5" xr:uid="{00000000-0002-0000-0300-000001000000}">
      <formula1>"Furniture,Office Supplies,Technology"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Formula Guide</vt:lpstr>
      <vt:lpstr>Transactions</vt:lpstr>
      <vt:lpstr>Product_Lookup</vt:lpstr>
      <vt:lpstr>Analysis</vt:lpstr>
      <vt:lpstr>ProductIDs</vt:lpstr>
      <vt:lpstr>ProductLookup</vt:lpstr>
      <vt:lpstr>ProductNames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manshvee chouhan</cp:lastModifiedBy>
  <dcterms:modified xsi:type="dcterms:W3CDTF">2026-10-06T08:24:22Z</dcterms:modified>
</cp:coreProperties>
</file>